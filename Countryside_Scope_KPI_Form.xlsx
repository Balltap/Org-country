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วิธีกรอก" sheetId="1" state="visible" r:id="rId1"/>
    <sheet xmlns:r="http://schemas.openxmlformats.org/officeDocument/2006/relationships" name="แบบฟอร์ม" sheetId="2" state="visible" r:id="rId2"/>
  </sheets>
  <definedNames>
    <definedName name="_xlnm._FilterDatabase" localSheetId="1" hidden="1">'แบบฟอร์ม'!$A$1:$L$45</definedName>
    <definedName name="_xlnm.Print_Titles" localSheetId="1">'แบบฟอร์ม'!$1:$1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1F3864"/>
      <sz val="16"/>
    </font>
    <font>
      <name val="Tahoma"/>
      <charset val="1"/>
      <family val="0"/>
      <color rgb="FF6B7785"/>
      <sz val="10"/>
    </font>
    <font>
      <name val="Tahoma"/>
      <charset val="1"/>
      <family val="0"/>
      <b val="1"/>
      <color rgb="FF1F3864"/>
      <sz val="12"/>
    </font>
    <font>
      <name val="Tahoma"/>
      <charset val="1"/>
      <family val="0"/>
      <color rgb="FF17212B"/>
      <sz val="11"/>
    </font>
    <font>
      <name val="Tahoma"/>
      <charset val="1"/>
      <family val="0"/>
      <b val="1"/>
      <color rgb="FF1677FF"/>
      <sz val="11"/>
    </font>
    <font>
      <name val="Tahoma"/>
      <charset val="1"/>
      <family val="0"/>
      <color rgb="FF1677FF"/>
      <sz val="11"/>
    </font>
    <font>
      <name val="Tahoma"/>
      <charset val="1"/>
      <family val="0"/>
      <b val="1"/>
      <color rgb="FF17212B"/>
      <sz val="11"/>
    </font>
    <font>
      <name val="Tahoma"/>
      <charset val="1"/>
      <family val="0"/>
      <sz val="11"/>
    </font>
    <font>
      <name val="Tahoma"/>
      <charset val="1"/>
      <family val="0"/>
      <b val="1"/>
      <color rgb="FFC0322C"/>
      <sz val="12"/>
    </font>
    <font>
      <name val="Tahoma"/>
      <charset val="1"/>
      <family val="0"/>
      <color rgb="FF7D2420"/>
      <sz val="11"/>
    </font>
    <font>
      <name val="Tahoma"/>
      <charset val="1"/>
      <family val="0"/>
      <b val="1"/>
      <color rgb="FF1F3864"/>
      <sz val="10"/>
    </font>
    <font>
      <name val="Tahoma"/>
      <charset val="1"/>
      <family val="0"/>
      <color rgb="FF17212B"/>
      <sz val="10"/>
    </font>
    <font>
      <name val="Tahoma"/>
      <charset val="1"/>
      <family val="0"/>
      <b val="1"/>
      <color rgb="FFFFFFFF"/>
      <sz val="10"/>
    </font>
    <font>
      <name val="Tahoma"/>
      <charset val="1"/>
      <family val="0"/>
      <color rgb="FF9AA6B2"/>
      <sz val="8"/>
    </font>
    <font>
      <name val="Tahoma"/>
      <charset val="1"/>
      <family val="0"/>
      <b val="1"/>
      <color rgb="FF17212B"/>
      <sz val="10"/>
    </font>
  </fonts>
  <fills count="5">
    <fill>
      <patternFill/>
    </fill>
    <fill>
      <patternFill patternType="gray125"/>
    </fill>
    <fill>
      <patternFill patternType="solid">
        <fgColor rgb="FFEDF0F3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center" vertical="top"/>
    </xf>
    <xf numFmtId="0" fontId="10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2" borderId="1" applyAlignment="1" pivotButton="0" quotePrefix="0" xfId="0">
      <alignment horizontal="general" vertical="top" wrapText="1"/>
    </xf>
    <xf numFmtId="0" fontId="15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/>
    </xf>
    <xf numFmtId="0" fontId="6" fillId="2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top" wrapText="1"/>
    </xf>
    <xf numFmtId="0" fontId="18" fillId="2" borderId="1" applyAlignment="1" pivotButton="0" quotePrefix="0" xfId="0">
      <alignment horizontal="general" vertical="top" wrapText="1"/>
    </xf>
    <xf numFmtId="164" fontId="1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10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center" wrapText="1"/>
    </xf>
    <xf numFmtId="0" fontId="10" fillId="3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2" borderId="1" applyAlignment="1" pivotButton="0" quotePrefix="0" xfId="0">
      <alignment horizontal="general" vertical="top" wrapText="1"/>
    </xf>
    <xf numFmtId="0" fontId="15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/>
    </xf>
    <xf numFmtId="0" fontId="6" fillId="2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top" wrapText="1"/>
    </xf>
    <xf numFmtId="0" fontId="18" fillId="2" borderId="1" applyAlignment="1" pivotButton="0" quotePrefix="0" xfId="0">
      <alignment horizontal="general" vertical="top" wrapText="1"/>
    </xf>
    <xf numFmtId="164" fontId="1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F0F3"/>
          <bgColor rgb="FF000000"/>
        </patternFill>
      </fill>
    </dxf>
    <dxf>
      <fill>
        <patternFill patternType="solid">
          <fgColor rgb="FF9AA6B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212B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85"/>
      <rgbColor rgb="FF9999FF"/>
      <rgbColor rgb="FFC0322C"/>
      <rgbColor rgb="FFFFF8E1"/>
      <rgbColor rgb="FFEDF0F3"/>
      <rgbColor rgb="FF660066"/>
      <rgbColor rgb="FFFF8080"/>
      <rgbColor rgb="FF0066CC"/>
      <rgbColor rgb="FFC9D2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677FF"/>
      <rgbColor rgb="FF33CCCC"/>
      <rgbColor rgb="FF99CC00"/>
      <rgbColor rgb="FFFFCC00"/>
      <rgbColor rgb="FFFF9900"/>
      <rgbColor rgb="FFFF6600"/>
      <rgbColor rgb="FF666699"/>
      <rgbColor rgb="FF9AA6B2"/>
      <rgbColor rgb="FF1F3864"/>
      <rgbColor rgb="FF339966"/>
      <rgbColor rgb="FF003300"/>
      <rgbColor rgb="FF333300"/>
      <rgbColor rgb="FF7D2420"/>
      <rgbColor rgb="FF993366"/>
      <rgbColor rgb="FF333399"/>
      <rgbColor rgb="FF17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2" min="1" max="1"/>
    <col width="26" customWidth="1" style="22" min="2" max="2"/>
    <col width="95" customWidth="1" style="22" min="3" max="3"/>
  </cols>
  <sheetData>
    <row r="1"/>
    <row r="2" ht="19.7" customHeight="1" s="23">
      <c r="B2" s="24" t="inlineStr">
        <is>
          <t>แบบฟอร์มยืนยันขอบเขตงาน · KPI · ปัญหาและอุปสรรค</t>
        </is>
      </c>
    </row>
    <row r="3" ht="15" customHeight="1" s="23">
      <c r="B3" s="25" t="inlineStr">
        <is>
          <t>โครงการ Countryside shape the future — Project Responsibility Map</t>
        </is>
      </c>
    </row>
    <row r="4"/>
    <row r="5" ht="15" customHeight="1" s="23">
      <c r="B5" s="26" t="inlineStr">
        <is>
          <t>ทำไมต้องกรอก</t>
        </is>
      </c>
    </row>
    <row r="6" ht="45" customHeight="1" s="23">
      <c r="B6" s="27" t="inlineStr">
        <is>
          <t>ขอบเขตงาน (Scope / Out of Scope) และ KPI ที่อยู่ในระบบตอนนี้ เป็น "ร่าง" ที่เขียนขึ้นจากชื่อตำแหน่ง และบริบทโครงการ ยังไม่ผ่านการยืนยันจากเจ้าของงานจริง จึงขอให้ทุกคนตรวจและแก้ให้ตรงกับงานที่ทำจริง พร้อมแจ้งปัญหาและอุปสรรคที่เจอ ข้อมูลที่กรอกกลับมาจะถูกนำเข้าระบบเว็บให้ทั้งทีมเห็นตรงกัน</t>
        </is>
      </c>
    </row>
    <row r="7"/>
    <row r="8" ht="15" customHeight="1" s="23">
      <c r="B8" s="26" t="inlineStr">
        <is>
          <t>ขั้นตอนการกรอก</t>
        </is>
      </c>
    </row>
    <row r="9" ht="27.75" customHeight="1" s="23">
      <c r="B9" s="28" t="inlineStr">
        <is>
          <t>1</t>
        </is>
      </c>
      <c r="C9" s="27" t="inlineStr">
        <is>
          <t>เปิดชีต "แบบฟอร์ม" แล้วกดลูกศรตัวกรองที่หัวคอลัมน์ "ผู้รับผิดชอบ" เลือกเฉพาะชื่อของตัวเอง</t>
        </is>
      </c>
    </row>
    <row r="10" ht="27.75" customHeight="1" s="23">
      <c r="B10" s="28" t="inlineStr">
        <is>
          <t>2</t>
        </is>
      </c>
      <c r="C10" s="27" t="inlineStr">
        <is>
          <t>แก้ข้อความใน 3 ช่องสีเหลือง — ✅ Scope / ❌ Out of Scope / 📊 KPI — ให้ตรงกับงานจริง พิมพ์ทับร่างเดิมได้เลย</t>
        </is>
      </c>
    </row>
    <row r="11" ht="27.75" customHeight="1" s="23">
      <c r="B11" s="28" t="inlineStr">
        <is>
          <t>3</t>
        </is>
      </c>
      <c r="C11" s="27" t="inlineStr">
        <is>
          <t>กรอก ปัญหาและอุปสรรค ที่เจอในงานนั้น พร้อมเลือกความรุนแรง (สูง / กลาง / ต่ำ) จากช่องดรอปดาวน์</t>
        </is>
      </c>
    </row>
    <row r="12" ht="27.75" customHeight="1" s="23">
      <c r="B12" s="28" t="inlineStr">
        <is>
          <t>4</t>
        </is>
      </c>
      <c r="C12" s="27" t="inlineStr">
        <is>
          <t>ใส่ชื่อผู้กรอกและวันที่ เพื่อให้รู้ว่าแถวไหนยืนยันแล้ว</t>
        </is>
      </c>
    </row>
    <row r="13" ht="27.75" customHeight="1" s="23">
      <c r="B13" s="28" t="inlineStr">
        <is>
          <t>5</t>
        </is>
      </c>
      <c r="C13" s="27" t="inlineStr">
        <is>
          <t>บันทึกไฟล์แล้วส่งกลับให้ผู้ประสานงาน (คุณบอล)</t>
        </is>
      </c>
    </row>
    <row r="14"/>
    <row r="15" ht="15" customHeight="1" s="23">
      <c r="B15" s="26" t="inlineStr">
        <is>
          <t>กติกาการเขียน</t>
        </is>
      </c>
    </row>
    <row r="16" ht="25.5" customHeight="1" s="23">
      <c r="B16" s="29" t="inlineStr">
        <is>
          <t>•</t>
        </is>
      </c>
      <c r="C16" s="27" t="inlineStr">
        <is>
          <t>คั่นแต่ละข้อด้วยจุดกลาง ·  เช่น  หาลูกค้า · ทำสัญญา · ติดตามการชำระเงิน   (ระบบเว็บใช้เครื่องหมายนี้แยกข้อ)</t>
        </is>
      </c>
    </row>
    <row r="17" ht="25.5" customHeight="1" s="23">
      <c r="B17" s="29" t="inlineStr">
        <is>
          <t>•</t>
        </is>
      </c>
      <c r="C17" s="27" t="inlineStr">
        <is>
          <t>Out of Scope ให้ระบุด้วยว่า "ใครทำแทน" เช่น  ไม่กำหนดราคาเอง (คณะ MM)</t>
        </is>
      </c>
    </row>
    <row r="18" ht="25.5" customHeight="1" s="23">
      <c r="B18" s="29" t="inlineStr">
        <is>
          <t>•</t>
        </is>
      </c>
      <c r="C18" s="27" t="inlineStr">
        <is>
          <t>KPI ต้องมีหน่วยและรอบวัด เช่น  ยอดขาย (ตัน/เดือน) · อัตราของเสีย (%)  ไม่ใช่แค่ "ยอดขาย"</t>
        </is>
      </c>
    </row>
    <row r="19" ht="25.5" customHeight="1" s="23">
      <c r="B19" s="29" t="inlineStr">
        <is>
          <t>•</t>
        </is>
      </c>
      <c r="C19" s="27" t="inlineStr">
        <is>
          <t>ถ้าช่องไหนถูกต้องอยู่แล้ว ไม่ต้องแก้ — แต่ยังต้องใส่ชื่อผู้กรอกและวันที่ เพื่อบอกว่าตรวจแล้ว</t>
        </is>
      </c>
    </row>
    <row r="20" ht="25.5" customHeight="1" s="23">
      <c r="B20" s="29" t="inlineStr">
        <is>
          <t>•</t>
        </is>
      </c>
      <c r="C20" s="27" t="inlineStr">
        <is>
          <t>ถ้าไม่มีปัญหาในงานนั้น ปล่อยช่องปัญหาว่างไว้ได้</t>
        </is>
      </c>
    </row>
    <row r="21"/>
    <row r="22" ht="15" customHeight="1" s="23">
      <c r="B22" s="26" t="inlineStr">
        <is>
          <t>สีในตาราง</t>
        </is>
      </c>
    </row>
    <row r="23" ht="15" customHeight="1" s="23">
      <c r="B23" s="30" t="inlineStr">
        <is>
          <t>สีเทา</t>
        </is>
      </c>
      <c r="C23" s="31" t="inlineStr">
        <is>
          <t>ข้อมูลอ้างอิงจากระบบ — ไม่ต้องแก้ (Department · กล่องงาน · ผู้รับผิดชอบ)</t>
        </is>
      </c>
    </row>
    <row r="24" ht="15" customHeight="1" s="23">
      <c r="B24" s="32" t="inlineStr">
        <is>
          <t>สีเหลือง</t>
        </is>
      </c>
      <c r="C24" s="31" t="inlineStr">
        <is>
          <t>ช่องที่ต้องกรอกหรือแก้ไข</t>
        </is>
      </c>
    </row>
    <row r="25"/>
    <row r="26" ht="15" customHeight="1" s="23">
      <c r="B26" s="33" t="inlineStr">
        <is>
          <t>ข้อควรระวัง</t>
        </is>
      </c>
    </row>
    <row r="27" ht="45" customHeight="1" s="23">
      <c r="B27" s="34" t="inlineStr">
        <is>
          <t>ห้ามลบแถว ห้ามสลับลำดับคอลัมน์ และห้ามลบคอลัมน์ที่ซ่อนอยู่ (คอลัมน์ A เก็บรหัสอ้างอิงของแต่ละกล่องงาน ใช้ตอนนำข้อมูลกลับเข้าระบบ) ถ้ามีงานที่ยังไม่อยู่ในตาราง ให้เขียนไว้ในช่อง "หมายเหตุ" ของแถวที่ใกล้เคียง แทนการเพิ่มแถวเอง</t>
        </is>
      </c>
    </row>
    <row r="28"/>
    <row r="29" ht="15" customHeight="1" s="23">
      <c r="B29" s="26" t="inlineStr">
        <is>
          <t>ตัวอย่างการกรอก</t>
        </is>
      </c>
    </row>
    <row r="30" ht="30" customHeight="1" s="23">
      <c r="B30" s="35" t="inlineStr">
        <is>
          <t>✅ Scope</t>
        </is>
      </c>
      <c r="C30" s="36" t="inlineStr">
        <is>
          <t>หาลูกค้าและปิดการขายเส้นใยไผ่ · ทำสัญญาซื้อขาย · ติดตามการชำระเงิน</t>
        </is>
      </c>
    </row>
    <row r="31" ht="30" customHeight="1" s="23">
      <c r="B31" s="35" t="inlineStr">
        <is>
          <t>❌ Out of Scope</t>
        </is>
      </c>
      <c r="C31" s="36" t="inlineStr">
        <is>
          <t>ไม่ควบคุมคุณภาพสินค้า (ฝ่ายผลิต) · ไม่กำหนดกรอบราคาเอง (คณะ MM)</t>
        </is>
      </c>
    </row>
    <row r="32" ht="30" customHeight="1" s="23">
      <c r="B32" s="35" t="inlineStr">
        <is>
          <t>📊 KPI</t>
        </is>
      </c>
      <c r="C32" s="36" t="inlineStr">
        <is>
          <t>ยอดขาย (ตัน/เดือน) · ลูกค้าใหม่ (ราย/ไตรมาส) · อัตราเก็บเงินตรงกำหนด (%)</t>
        </is>
      </c>
    </row>
    <row r="33" ht="30" customHeight="1" s="23">
      <c r="B33" s="35" t="inlineStr">
        <is>
          <t>ปัญหาและอุปสรรค</t>
        </is>
      </c>
      <c r="C33" s="36" t="inlineStr">
        <is>
          <t>ลูกค้าถามสเปกเส้นใยแล้วตอบไม่ได้ เพราะยังไม่มีเอกสารสเปกกลางจาก R&amp;D</t>
        </is>
      </c>
    </row>
    <row r="34" ht="30" customHeight="1" s="23">
      <c r="B34" s="35" t="inlineStr">
        <is>
          <t>ความรุนแรง</t>
        </is>
      </c>
      <c r="C34" s="36" t="inlineStr">
        <is>
          <t>สูง</t>
        </is>
      </c>
    </row>
    <row r="35"/>
    <row r="36" ht="29.85" customHeight="1" s="23">
      <c r="B36" s="26" t="inlineStr">
        <is>
          <t>ความคืบหน้า (อัปเดตอัตโนมัติ)</t>
        </is>
      </c>
    </row>
    <row r="37" ht="15" customHeight="1" s="23">
      <c r="B37" s="37" t="inlineStr">
        <is>
          <t>กล่องงานทั้งหมด</t>
        </is>
      </c>
      <c r="C37" s="38">
        <f>COUNTA(แบบฟอร์ม!C2:C45)</f>
        <v/>
      </c>
    </row>
    <row r="38" ht="15" customHeight="1" s="23">
      <c r="B38" s="37" t="inlineStr">
        <is>
          <t>กรอกแล้ว (มีชื่อผู้กรอก)</t>
        </is>
      </c>
      <c r="C38" s="38">
        <f>COUNTA(แบบฟอร์ม!J2:J45)</f>
        <v/>
      </c>
    </row>
    <row r="39" ht="15" customHeight="1" s="23">
      <c r="B39" s="37" t="inlineStr">
        <is>
          <t>ยังไม่กรอก</t>
        </is>
      </c>
      <c r="C39" s="38">
        <f>C37-C38</f>
        <v/>
      </c>
    </row>
    <row r="40" ht="15" customHeight="1" s="23">
      <c r="B40" s="37" t="inlineStr">
        <is>
          <t>ปัญหาที่แจ้งเข้ามา</t>
        </is>
      </c>
      <c r="C40" s="38">
        <f>COUNTA(แบบฟอร์ม!H2:H45)</f>
        <v/>
      </c>
    </row>
  </sheetData>
  <mergeCells count="4">
    <mergeCell ref="B27:C27"/>
    <mergeCell ref="B6:C6"/>
    <mergeCell ref="B2:C2"/>
    <mergeCell ref="B3:C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4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hidden="1" width="14" customWidth="1" style="22" min="1" max="1"/>
    <col width="20" customWidth="1" style="22" min="2" max="2"/>
    <col width="30" customWidth="1" style="22" min="3" max="3"/>
    <col width="20" customWidth="1" style="22" min="4" max="4"/>
    <col width="48" customWidth="1" style="22" min="5" max="6"/>
    <col width="42" customWidth="1" style="22" min="7" max="7"/>
    <col width="44" customWidth="1" style="22" min="8" max="8"/>
    <col width="12" customWidth="1" style="22" min="9" max="9"/>
    <col width="16" customWidth="1" style="22" min="10" max="10"/>
    <col width="13" customWidth="1" style="22" min="11" max="11"/>
    <col width="36" customWidth="1" style="22" min="12" max="12"/>
  </cols>
  <sheetData>
    <row r="1" ht="42" customHeight="1" s="23">
      <c r="A1" s="39" t="inlineStr">
        <is>
          <t>รหัสอ้างอิง (ห้ามแก้)</t>
        </is>
      </c>
      <c r="B1" s="39" t="inlineStr">
        <is>
          <t>Department</t>
        </is>
      </c>
      <c r="C1" s="39" t="inlineStr">
        <is>
          <t>กล่องงาน / Responsibility</t>
        </is>
      </c>
      <c r="D1" s="39" t="inlineStr">
        <is>
          <t>ผู้รับผิดชอบ</t>
        </is>
      </c>
      <c r="E1" s="39" t="inlineStr">
        <is>
          <t>✅ Scope — งานนี้ทำอะไรบ้าง</t>
        </is>
      </c>
      <c r="F1" s="39" t="inlineStr">
        <is>
          <t>❌ Out of Scope — ไม่ทำอะไร (ใครทำแทน)</t>
        </is>
      </c>
      <c r="G1" s="39" t="inlineStr">
        <is>
          <t>📊 KPI — วัดผลงานนี้ด้วยอะไร</t>
        </is>
      </c>
      <c r="H1" s="39" t="inlineStr">
        <is>
          <t>ปัญหาและอุปสรรคที่พบ</t>
        </is>
      </c>
      <c r="I1" s="39" t="inlineStr">
        <is>
          <t>ความรุนแรง</t>
        </is>
      </c>
      <c r="J1" s="39" t="inlineStr">
        <is>
          <t>ผู้กรอก</t>
        </is>
      </c>
      <c r="K1" s="39" t="inlineStr">
        <is>
          <t>วันที่กรอก</t>
        </is>
      </c>
      <c r="L1" s="39" t="inlineStr">
        <is>
          <t>หมายเหตุ / ประเด็นที่อยากให้ตัดสินใจ</t>
        </is>
      </c>
    </row>
    <row r="2" ht="96" customHeight="1" s="23">
      <c r="A2" s="40" t="inlineStr">
        <is>
          <t>a6b96416-ab5a-4143-8e8d-0544614a33c0</t>
        </is>
      </c>
      <c r="B2" s="41" t="inlineStr">
        <is>
          <t>Business</t>
        </is>
      </c>
      <c r="C2" s="42" t="inlineStr">
        <is>
          <t>Marketing &amp; sale มัดเส้นใย/เยื่อ</t>
        </is>
      </c>
      <c r="D2" s="41" t="inlineStr">
        <is>
          <t>คุณ ษา</t>
        </is>
      </c>
      <c r="E2" s="36" t="inlineStr">
        <is>
          <t>หาลูกค้าและปิดการขายเส้นใย/เยื่อไผ่ · ทำสัญญาซื้อขายและติดตามการชำระเงิน · เก็บข้อมูลความต้องการตลาดส่งกลับให้ฝ่ายผลิต</t>
        </is>
      </c>
      <c r="F2" s="36" t="inlineStr">
        <is>
          <t>ไม่ควบคุมสายการผลิตหรือคุณภาพสินค้า (มัดเส้นใย+เยื่อ) · ไม่กำหนดกรอบราคาเอง (คณะ MM) · ไม่รับผิดชอบการจัดส่ง (Logistic)</t>
        </is>
      </c>
      <c r="G2" s="36" t="inlineStr">
        <is>
          <t>ยอดขายเส้นใย/เยื่อ (ตัน/เดือน) · ลูกค้าใหม่ (ราย/ไตรมาส) · อัตราเก็บเงินตรงกำหนด (%)</t>
        </is>
      </c>
      <c r="H2" s="36" t="n"/>
      <c r="I2" s="36" t="n"/>
      <c r="J2" s="36" t="n"/>
      <c r="K2" s="43" t="n"/>
      <c r="L2" s="36" t="n"/>
    </row>
    <row r="3" ht="96" customHeight="1" s="23">
      <c r="A3" s="40" t="inlineStr">
        <is>
          <t>f5a37543-1e58-4385-9ac7-e80a6005e792</t>
        </is>
      </c>
      <c r="B3" s="41" t="inlineStr">
        <is>
          <t>Business</t>
        </is>
      </c>
      <c r="C3" s="42" t="inlineStr">
        <is>
          <t>Marketing &amp; sale เมล็ดพันธุ์/ต้นกล้า</t>
        </is>
      </c>
      <c r="D3" s="41" t="inlineStr">
        <is>
          <t>คุณเก่ง</t>
        </is>
      </c>
      <c r="E3" s="36" t="inlineStr">
        <is>
          <t>ขายเมล็ดพันธุ์และต้นกล้าให้เกษตรกรและลูกค้าภายนอก · รับคำสั่งซื้อและวางแผนส่งมอบร่วมกับเรือนเพาะชำ</t>
        </is>
      </c>
      <c r="F3" s="36" t="inlineStr">
        <is>
          <t>ไม่ผลิตกล้าเอง (แม้จะเป็นคนเดียวกัน ให้แยกบทบาทให้ชัด — ดูประเด็น 2.1) · ไม่รับรองสายพันธุ์ (คุณ Aof) · ไม่ให้คำแนะนำทางวิชาการเรื่องพันธุ์ (R&amp;D)</t>
        </is>
      </c>
      <c r="G3" s="36" t="inlineStr">
        <is>
          <t>ยอดขายกล้า (ต้น/เดือน) · มูลค่าขาย (บาท/เดือน) · อัตราสั่งซื้อซ้ำ (%)</t>
        </is>
      </c>
      <c r="H3" s="36" t="n"/>
      <c r="I3" s="36" t="n"/>
      <c r="J3" s="36" t="n"/>
      <c r="K3" s="43" t="n"/>
      <c r="L3" s="36" t="n"/>
    </row>
    <row r="4" ht="96" customHeight="1" s="23">
      <c r="A4" s="40" t="inlineStr">
        <is>
          <t>6315544b-775d-4c6f-9f2b-2cfce9a622e6</t>
        </is>
      </c>
      <c r="B4" s="41" t="inlineStr">
        <is>
          <t>Business</t>
        </is>
      </c>
      <c r="C4" s="42" t="inlineStr">
        <is>
          <t>Marketing &amp; sale biochar</t>
        </is>
      </c>
      <c r="D4" s="41" t="inlineStr">
        <is>
          <t>คุณไบร์</t>
        </is>
      </c>
      <c r="E4" s="36" t="inlineStr">
        <is>
          <t>หาตลาดไบโอชาร์ ทั้งภาคเกษตรและอุตสาหกรรม · เจรจาราคาและปริมาณ · ดูแลช่องทางคาร์บอนเครดิตฝั่งลูกค้า</t>
        </is>
      </c>
      <c r="F4" s="36" t="inlineStr">
        <is>
          <t>ไม่ควบคุมกระบวนการผลิตไบโอชาร์ในบทบาทนี้ (ดูประเด็น 2.1) · ไม่รับรองมาตรฐานคุณภาพ (Formula + QC)</t>
        </is>
      </c>
      <c r="G4" s="36" t="inlineStr">
        <is>
          <t>ยอดขายไบโอชาร์ (ตัน/เดือน) · ราคาขายเฉลี่ย (บาท/ตัน) · สัดส่วนลูกค้าประจำ (%)</t>
        </is>
      </c>
      <c r="H4" s="36" t="n"/>
      <c r="I4" s="36" t="n"/>
      <c r="J4" s="36" t="n"/>
      <c r="K4" s="43" t="n"/>
      <c r="L4" s="36" t="n"/>
    </row>
    <row r="5" ht="96" customHeight="1" s="23">
      <c r="A5" s="40" t="inlineStr">
        <is>
          <t>3f382ed1-993f-4b81-b4fc-ec35deaf3ac2</t>
        </is>
      </c>
      <c r="B5" s="41" t="inlineStr">
        <is>
          <t>Business</t>
        </is>
      </c>
      <c r="C5" s="42" t="inlineStr">
        <is>
          <t>Marketing &amp; sale ไฟฟ้า</t>
        </is>
      </c>
      <c r="D5" s="41" t="inlineStr">
        <is>
          <t>คุณเอ</t>
        </is>
      </c>
      <c r="E5" s="36" t="inlineStr">
        <is>
          <t>เจรจาสัญญาขายไฟ (PPA) · ประสานงานกับการไฟฟ้าและผู้รับซื้อ · ติดตามเงื่อนไขและรายได้ตามสัญญา</t>
        </is>
      </c>
      <c r="F5" s="36" t="inlineStr">
        <is>
          <t>ไม่เดินเครื่องโรงไฟฟ้า (คุณบอส) · ไม่ดูแลระบบไฟฟ้าภายในพื้นที่ในบทบาทนี้ (แยกจากงาน Power — ดูประเด็น 2.4)</t>
        </is>
      </c>
      <c r="G5" s="36" t="inlineStr">
        <is>
          <t>ปริมาณไฟที่ขายได้ (MWh/เดือน) · รายได้ตาม PPA (บาท/เดือน) · จำนวนสัญญาที่ลงนาม</t>
        </is>
      </c>
      <c r="H5" s="36" t="n"/>
      <c r="I5" s="36" t="n"/>
      <c r="J5" s="36" t="n"/>
      <c r="K5" s="43" t="n"/>
      <c r="L5" s="36" t="n"/>
    </row>
    <row r="6" ht="96" customHeight="1" s="23">
      <c r="A6" s="40" t="inlineStr">
        <is>
          <t>e9a2a1eb-72fe-408a-9464-6ef94740fb52</t>
        </is>
      </c>
      <c r="B6" s="41" t="inlineStr">
        <is>
          <t>Business</t>
        </is>
      </c>
      <c r="C6" s="42" t="inlineStr">
        <is>
          <t>Marketing &amp; sale AiaaS Farmer</t>
        </is>
      </c>
      <c r="D6" s="41" t="inlineStr">
        <is>
          <t>คุณเก่ง</t>
        </is>
      </c>
      <c r="E6" s="36" t="inlineStr">
        <is>
          <t>หาลูกค้าที่ต้องการบริการ AI · กำหนดแพ็กเกจและราคาขายร่วมกับทีมพัฒนา · ดูแลลูกค้าหลังการขาย</t>
        </is>
      </c>
      <c r="F6" s="36" t="inlineStr">
        <is>
          <t>ไม่พัฒนาโมเดลหรือระบบเอง (คุณนิค) · ไม่รับผิดชอบ SLA ทางเทคนิค (Digital)</t>
        </is>
      </c>
      <c r="G6" s="36" t="inlineStr">
        <is>
          <t>เกษตรกรที่สมัครใช้บริการ (ราย/เดือน) · อัตราต่ออายุ (%) · รายได้ต่อราย (บาท/เดือน)</t>
        </is>
      </c>
      <c r="H6" s="36" t="n"/>
      <c r="I6" s="36" t="n"/>
      <c r="J6" s="36" t="n"/>
      <c r="K6" s="43" t="n"/>
      <c r="L6" s="36" t="n"/>
    </row>
    <row r="7" ht="96" customHeight="1" s="23">
      <c r="A7" s="40" t="inlineStr">
        <is>
          <t>48879426-8a6c-44bc-91dd-1b857541a3c7</t>
        </is>
      </c>
      <c r="B7" s="41" t="inlineStr">
        <is>
          <t>Business</t>
        </is>
      </c>
      <c r="C7" s="42" t="inlineStr">
        <is>
          <t>Marketing &amp; sale AiaaS non-Farmer</t>
        </is>
      </c>
      <c r="D7" s="41" t="inlineStr">
        <is>
          <t>ว่าง</t>
        </is>
      </c>
      <c r="E7" s="36" t="n"/>
      <c r="F7" s="36" t="n"/>
      <c r="G7" s="36" t="inlineStr">
        <is>
          <t>ลูกค้าองค์กรใหม่ (ราย/ไตรมาส) · รายได้ต่อลูกค้า (บาท/เดือน) · อัตราต่อสัญญา (%)</t>
        </is>
      </c>
      <c r="H7" s="36" t="n"/>
      <c r="I7" s="36" t="n"/>
      <c r="J7" s="36" t="n"/>
      <c r="K7" s="43" t="n"/>
      <c r="L7" s="36" t="n"/>
    </row>
    <row r="8" ht="96" customHeight="1" s="23">
      <c r="A8" s="40" t="inlineStr">
        <is>
          <t>0f1faadb-d805-4749-b273-d7963cf01127</t>
        </is>
      </c>
      <c r="B8" s="41" t="inlineStr">
        <is>
          <t>Business</t>
        </is>
      </c>
      <c r="C8" s="42" t="inlineStr">
        <is>
          <t>Marketing &amp; sale Datacenter</t>
        </is>
      </c>
      <c r="D8" s="41" t="inlineStr">
        <is>
          <t>คุณพลอย</t>
        </is>
      </c>
      <c r="E8" s="36" t="inlineStr">
        <is>
          <t>หาลูกค้าเช่าพื้นที่ Data center · ทำสัญญาเช่าและเงื่อนไขบริการ · ดูแลความสัมพันธ์ลูกค้าระยะยาว</t>
        </is>
      </c>
      <c r="F8" s="36" t="inlineStr">
        <is>
          <t>ไม่ดูแลระบบไฟ ระบบเย็น หรือโครงข่ายในศูนย์ข้อมูล (คุณพีค) · ไม่รับผิดชอบ uptime ทางเทคนิค</t>
        </is>
      </c>
      <c r="G8" s="36" t="inlineStr">
        <is>
          <t>พื้นที่/ตู้ที่ขายได้ (rack/ไตรมาส) · อัตราการใช้พื้นที่ (%) · มูลค่าสัญญาเฉลี่ย (บาท/ปี)</t>
        </is>
      </c>
      <c r="H8" s="36" t="n"/>
      <c r="I8" s="36" t="n"/>
      <c r="J8" s="36" t="n"/>
      <c r="K8" s="43" t="n"/>
      <c r="L8" s="36" t="n"/>
    </row>
    <row r="9" ht="96" customHeight="1" s="23">
      <c r="A9" s="40" t="inlineStr">
        <is>
          <t>a05d3b03-f05e-4c84-9ab8-082f7c0abfff</t>
        </is>
      </c>
      <c r="B9" s="41" t="inlineStr">
        <is>
          <t>R&amp;D</t>
        </is>
      </c>
      <c r="C9" s="42" t="inlineStr">
        <is>
          <t>Formula + QC</t>
        </is>
      </c>
      <c r="D9" s="41" t="inlineStr">
        <is>
          <t>อาจารย์พิชิต(คุณ third)</t>
        </is>
      </c>
      <c r="E9" s="36" t="inlineStr">
        <is>
          <t>พัฒนาสูตรผลิตภัณฑ์ · กำหนดมาตรฐานคุณภาพและวิธีทดสอบ · กำหนดเกณฑ์รับ/ไม่รับวัตถุดิบ เช่น ความชื้นและขนาดชิ้น · เป็นผู้ตัดสินขั้นสุดท้ายเรื่องคุณภาพ</t>
        </is>
      </c>
      <c r="F9" s="36" t="inlineStr">
        <is>
          <t>ไม่ควบคุมการผลิตประจำวัน (Production) · ไม่ตรวจสินค้าทีละล็อตเอง (ฝ่ายผลิตตรวจตามเกณฑ์ที่กำหนดให้)</t>
        </is>
      </c>
      <c r="G9" s="36" t="inlineStr">
        <is>
          <t>สินค้าที่ผ่านเกณฑ์คุณภาพ (%) · ข้อร้องเรียนคุณภาพ (ครั้ง/เดือน) · สูตรใหม่ที่พัฒนาสำเร็จ (สูตร/ปี)</t>
        </is>
      </c>
      <c r="H9" s="36" t="n"/>
      <c r="I9" s="36" t="n"/>
      <c r="J9" s="36" t="n"/>
      <c r="K9" s="43" t="n"/>
      <c r="L9" s="36" t="n"/>
    </row>
    <row r="10" ht="96" customHeight="1" s="23">
      <c r="A10" s="40" t="inlineStr">
        <is>
          <t>9fb155c4-2f1f-4aa2-8d51-74f843799f0d</t>
        </is>
      </c>
      <c r="B10" s="41" t="inlineStr">
        <is>
          <t>R&amp;D</t>
        </is>
      </c>
      <c r="C10" s="42" t="inlineStr">
        <is>
          <t>พันธุ์ไผ่จีน</t>
        </is>
      </c>
      <c r="D10" s="41" t="inlineStr">
        <is>
          <t>อาจารย์ตัน(คุณเก่ง)</t>
        </is>
      </c>
      <c r="E10" s="36" t="inlineStr">
        <is>
          <t>คัดเลือกและนำเข้าสายพันธุ์จากจีน · ทดสอบการเติบโตและผลผลิตในสภาพพื้นที่ไทย · ประเมินความเหมาะสมเชิงพาณิชย์</t>
        </is>
      </c>
      <c r="F10" s="36" t="inlineStr">
        <is>
          <t>ไม่ดำเนินเอกสารนำเข้า/รับรองพันธุ์ (คุณ Aof) · ไม่ขยายพันธุ์เชิงปริมาณ (Tissue Culture)</t>
        </is>
      </c>
      <c r="G10" s="36" t="inlineStr">
        <is>
          <t>สายพันธุ์ที่ทดสอบ (สายพันธุ์/ปี) · อัตรารอดหลังปลูก 6 เดือน (%) · ผลผลิตชีวมวล (ตัน/ไร่/ปี)</t>
        </is>
      </c>
      <c r="H10" s="36" t="n"/>
      <c r="I10" s="36" t="n"/>
      <c r="J10" s="36" t="n"/>
      <c r="K10" s="43" t="n"/>
      <c r="L10" s="36" t="n"/>
    </row>
    <row r="11" ht="96" customHeight="1" s="23">
      <c r="A11" s="40" t="inlineStr">
        <is>
          <t>dd980b34-8bea-4ac1-889d-875ae51ef0a7</t>
        </is>
      </c>
      <c r="B11" s="41" t="inlineStr">
        <is>
          <t>R&amp;D</t>
        </is>
      </c>
      <c r="C11" s="42" t="inlineStr">
        <is>
          <t>พันธุ์ไผ่ไทย</t>
        </is>
      </c>
      <c r="D11" s="41" t="inlineStr">
        <is>
          <t>lab-สยามแบมบูไบโอเทค</t>
        </is>
      </c>
      <c r="E11" s="36" t="inlineStr">
        <is>
          <t>รวบรวมและทดสอบสายพันธุ์พื้นถิ่น · เก็บข้อมูลผลผลิตชีวมวลและคุณสมบัติด้านเชื้อเพลิง · จัดทำฐานข้อมูลสายพันธุ์</t>
        </is>
      </c>
      <c r="F11" s="36" t="inlineStr">
        <is>
          <t>ไม่ทำงานส่งเสริมเกษตรกร (Plantation) · ไม่ซ้ำซ้อนกับงานวิจัยของมูลนิธิฯ (ดูประเด็น 2.3)</t>
        </is>
      </c>
      <c r="G11" s="36" t="inlineStr">
        <is>
          <t>สายพันธุ์ในฐานข้อมูล (สายพันธุ์) · ผลผลิตชีวมวล (ตัน/ไร่/ปี) · ค่าความร้อน (MJ/kg แห้ง)</t>
        </is>
      </c>
      <c r="H11" s="36" t="n"/>
      <c r="I11" s="36" t="n"/>
      <c r="J11" s="36" t="n"/>
      <c r="K11" s="43" t="n"/>
      <c r="L11" s="36" t="n"/>
    </row>
    <row r="12" ht="96" customHeight="1" s="23">
      <c r="A12" s="40" t="inlineStr">
        <is>
          <t>5524bb8e-c8c3-4d2a-8176-bad2a935af5c</t>
        </is>
      </c>
      <c r="B12" s="41" t="inlineStr">
        <is>
          <t>R&amp;D</t>
        </is>
      </c>
      <c r="C12" s="42" t="inlineStr">
        <is>
          <t>machine harvesting</t>
        </is>
      </c>
      <c r="D12" s="41" t="inlineStr">
        <is>
          <t>คุณ ปดิ</t>
        </is>
      </c>
      <c r="E12" s="36" t="inlineStr">
        <is>
          <t>พัฒนาและคัดเลือกเครื่องจักรเก็บเกี่ยว · ทดสอบต้นแบบในแปลงจริง · ประเมินต้นทุนต่อตันเทียบกับแรงงานคน · ส่งมอบเครื่องที่พร้อมใช้ให้ฝ่ายผลิต</t>
        </is>
      </c>
      <c r="F12" s="36" t="inlineStr">
        <is>
          <t>ไม่วางแผนคิวเก็บเกี่ยวประจำวัน (คุณเฟย์) · ไม่ดูแลการซ่อมบำรุงเครื่องที่ส่งมอบแล้ว (ต้องตกลงจุดส่งมอบ — ดูประเด็น 2.2)</t>
        </is>
      </c>
      <c r="G12" s="36" t="inlineStr">
        <is>
          <t>ต้นทุนเก็บเกี่ยว (บาท/ตัน) · กำลังเก็บเกี่ยว (ตัน/ชม.) · เวลาเครื่องเสีย (% ของเวลาใช้งาน)</t>
        </is>
      </c>
      <c r="H12" s="36" t="n"/>
      <c r="I12" s="36" t="n"/>
      <c r="J12" s="36" t="n"/>
      <c r="K12" s="43" t="n"/>
      <c r="L12" s="36" t="n"/>
    </row>
    <row r="13" ht="96" customHeight="1" s="23">
      <c r="A13" s="40" t="inlineStr">
        <is>
          <t>e323ea16-b7a6-49a4-b826-4f8bedb843da</t>
        </is>
      </c>
      <c r="B13" s="41" t="inlineStr">
        <is>
          <t>R&amp;D</t>
        </is>
      </c>
      <c r="C13" s="42" t="inlineStr">
        <is>
          <t>biomass CCHP</t>
        </is>
      </c>
      <c r="D13" s="41" t="inlineStr">
        <is>
          <t>คุณบอส</t>
        </is>
      </c>
      <c r="E13" s="36" t="inlineStr">
        <is>
          <t>ศึกษาและออกแบบระบบผลิตความเย็น ความร้อน และไฟฟ้าร่วม · ประเมินความคุ้มค่าและเทคโนโลยีที่เหมาะสม · จัดทำข้อเสนอการลงทุน</t>
        </is>
      </c>
      <c r="F13" s="36" t="inlineStr">
        <is>
          <t>ไม่ใช่การเดินเครื่องโรงไฟฟ้าปัจจุบัน (แยกจากงาน 5.6 แม้เป็นคนเดียวกัน) · ไม่จัดหาเงินลงทุน (Finance)</t>
        </is>
      </c>
      <c r="G13" s="36" t="inlineStr">
        <is>
          <t>ผลตอบแทนการลงทุน IRR (%) · วันส่งมอบผลการศึกษา · ประสิทธิภาพรวมของระบบ (%)</t>
        </is>
      </c>
      <c r="H13" s="36" t="n"/>
      <c r="I13" s="36" t="n"/>
      <c r="J13" s="36" t="n"/>
      <c r="K13" s="43" t="n"/>
      <c r="L13" s="36" t="n"/>
    </row>
    <row r="14" ht="96" customHeight="1" s="23">
      <c r="A14" s="40" t="inlineStr">
        <is>
          <t>4d7d3305-783e-4647-8bf7-c3c3bb4090a2</t>
        </is>
      </c>
      <c r="B14" s="41" t="inlineStr">
        <is>
          <t>Process Development</t>
        </is>
      </c>
      <c r="C14" s="42" t="inlineStr">
        <is>
          <t>Process</t>
        </is>
      </c>
      <c r="D14" s="41" t="inlineStr">
        <is>
          <t>คุณ เอฟ</t>
        </is>
      </c>
      <c r="E14" s="36" t="inlineStr">
        <is>
          <t>ออกแบบและปรับปรุงกระบวนการแปรรูป ตั้งแต่รับวัตถุดิบ สับ ผึ่ง จนป้อนสายการผลิต · กำหนดสเปกความชื้นและกำลังการผลิตต่อชั่วโมง · แก้ปัญหาคอขวดในสายการผลิต</t>
        </is>
      </c>
      <c r="F14" s="36" t="inlineStr">
        <is>
          <t>ไม่กำหนดมาตรฐานคุณภาพผลิตภัณฑ์ (Formula + QC) · ไม่เดินเครื่องประจำวัน (Production) · ไม่ออกแบบผังโรงงาน (Design layout)</t>
        </is>
      </c>
      <c r="G14" s="36" t="inlineStr">
        <is>
          <t>กำลังการผลิต (ตัน/ชม.) · ความชื้นวัตถุดิบเข้าไลน์ (% w.b.) · อัตราของเสีย (%)</t>
        </is>
      </c>
      <c r="H14" s="36" t="n"/>
      <c r="I14" s="36" t="n"/>
      <c r="J14" s="36" t="n"/>
      <c r="K14" s="43" t="n"/>
      <c r="L14" s="36" t="n"/>
    </row>
    <row r="15" ht="96" customHeight="1" s="23">
      <c r="A15" s="40" t="inlineStr">
        <is>
          <t>38c32d2e-c07d-4b74-be8c-3407138b614e</t>
        </is>
      </c>
      <c r="B15" s="41" t="inlineStr">
        <is>
          <t>Process Development</t>
        </is>
      </c>
      <c r="C15" s="42" t="inlineStr">
        <is>
          <t>Farmer Acquisition</t>
        </is>
      </c>
      <c r="D15" s="41" t="inlineStr">
        <is>
          <t>ืnew employee (คุณจิระที่ปรึกษา)</t>
        </is>
      </c>
      <c r="E15" s="36" t="inlineStr">
        <is>
          <t>หาและคัดเลือกเกษตรกรเข้าร่วมโครงการ · ทำสัญญารับซื้อผลผลิต · ดูแลความสัมพันธ์และผลักดันเป้าหมายพื้นที่ปลูกรายปี</t>
        </is>
      </c>
      <c r="F15" s="36" t="inlineStr">
        <is>
          <t>ไม่ให้ความรู้ทางเทคนิคการปลูก (Plantation + ส่งเสริม) · ไม่กำหนดราคารับซื้อเอง (คณะ MM)</t>
        </is>
      </c>
      <c r="G15" s="36" t="inlineStr">
        <is>
          <t>เกษตรกรใหม่ (ราย/เดือน) · พื้นที่ปลูกสะสม (ไร่) · อัตราคงอยู่ของเกษตรกร (%)</t>
        </is>
      </c>
      <c r="H15" s="36" t="n"/>
      <c r="I15" s="36" t="n"/>
      <c r="J15" s="36" t="n"/>
      <c r="K15" s="43" t="n"/>
      <c r="L15" s="36" t="n"/>
    </row>
    <row r="16" ht="96" customHeight="1" s="23">
      <c r="A16" s="40" t="inlineStr">
        <is>
          <t>81fec49f-35f3-4a28-a00c-650dbd7ea6f2</t>
        </is>
      </c>
      <c r="B16" s="41" t="inlineStr">
        <is>
          <t>Process Development</t>
        </is>
      </c>
      <c r="C16" s="42" t="inlineStr">
        <is>
          <t>Factory Layout Design</t>
        </is>
      </c>
      <c r="D16" s="41" t="inlineStr">
        <is>
          <t>คุณ third</t>
        </is>
      </c>
      <c r="E16" s="36" t="inlineStr">
        <is>
          <t>ออกแบบผังพื้นที่โรงงานและตำแหน่งเครื่องจักร · วางเส้นทางการไหลของวัตถุดิบและคน · ประสานกับงานพัฒนาที่ดินเรื่องข้อจำกัดพื้นที่</t>
        </is>
      </c>
      <c r="F16" s="36" t="inlineStr">
        <is>
          <t>ไม่ออกแบบกระบวนการผลิต (คุณ เอฟ) · ไม่จัดหาที่ดินหรือขออนุญาตก่อสร้าง (Land Dev)</t>
        </is>
      </c>
      <c r="G16" s="36" t="inlineStr">
        <is>
          <t>งานออกแบบเสร็จตามแผน (%) · จำนวนครั้งที่แก้แบบหลังอนุมัติ · พื้นที่ใช้สอยที่ประหยัดได้ (%)</t>
        </is>
      </c>
      <c r="H16" s="36" t="n"/>
      <c r="I16" s="36" t="n"/>
      <c r="J16" s="36" t="n"/>
      <c r="K16" s="43" t="n"/>
      <c r="L16" s="36" t="n"/>
    </row>
    <row r="17" ht="96" customHeight="1" s="23">
      <c r="A17" s="40" t="inlineStr">
        <is>
          <t>98d198cf-4b54-4ff2-aacb-5d99cfc1869d</t>
        </is>
      </c>
      <c r="B17" s="41" t="inlineStr">
        <is>
          <t>Digital &amp; Automation Development</t>
        </is>
      </c>
      <c r="C17" s="42" t="inlineStr">
        <is>
          <t>Automation</t>
        </is>
      </c>
      <c r="D17" s="41" t="inlineStr">
        <is>
          <t>คุณ third</t>
        </is>
      </c>
      <c r="E17" s="36" t="inlineStr">
        <is>
          <t>ออกแบบและติดตั้งระบบควบคุมอัตโนมัติในสายการผลิต · PLC/SCADA และการเชื่อมต่อกับเครื่องจักร · ดูแลเสถียรภาพระบบควบคุม</t>
        </is>
      </c>
      <c r="F17" s="36" t="inlineStr">
        <is>
          <t>ไม่พัฒนาซอฟต์แวร์ฝั่งผู้ใช้หรือแดชบอร์ด (BB Platform / Dashboard) · ไม่ดูแลโครงข่ายสื่อสาร (Network)</t>
        </is>
      </c>
      <c r="G17" s="36" t="inlineStr">
        <is>
          <t>เวลาเครื่องหยุดจากระบบควบคุม (ชม./เดือน) · จุดที่ทำอัตโนมัติสำเร็จ (จุด/ไตรมาส) · แรงงานที่ลดได้ (คน-ชม./เดือน)</t>
        </is>
      </c>
      <c r="H17" s="36" t="n"/>
      <c r="I17" s="36" t="n"/>
      <c r="J17" s="36" t="n"/>
      <c r="K17" s="43" t="n"/>
      <c r="L17" s="36" t="n"/>
    </row>
    <row r="18" ht="96" customHeight="1" s="23">
      <c r="A18" s="40" t="inlineStr">
        <is>
          <t>06d59037-607f-4b7e-b914-183e5bf2ab8e</t>
        </is>
      </c>
      <c r="B18" s="41" t="inlineStr">
        <is>
          <t>Digital &amp; Automation Development</t>
        </is>
      </c>
      <c r="C18" s="42" t="inlineStr">
        <is>
          <t>BB Platform</t>
        </is>
      </c>
      <c r="D18" s="41" t="inlineStr">
        <is>
          <t>คุณนิค</t>
        </is>
      </c>
      <c r="E18" s="36" t="inlineStr">
        <is>
          <t>พัฒนาและดูแลแพลตฟอร์มหลักของโครงการ · backend ฐานข้อมูล และการจัดการสิทธิ์ผู้ใช้ · เป็นแหล่งข้อมูลกลางที่ระบบอื่นดึงไปใช้</t>
        </is>
      </c>
      <c r="F18" s="36" t="inlineStr">
        <is>
          <t>ไม่ทำหน้าจอแดชบอร์ดสำหรับผู้บริหาร (ดูประเด็น 2.5) · ไม่ดูแลเซิร์ฟเวอร์กายภาพ (Infra)</t>
        </is>
      </c>
      <c r="G18" s="36" t="inlineStr">
        <is>
          <t>Uptime (%) · ผู้ใช้ประจำ (คน/เดือน) · เวลาแก้บั๊กเฉลี่ย (ชม.)</t>
        </is>
      </c>
      <c r="H18" s="36" t="n"/>
      <c r="I18" s="36" t="n"/>
      <c r="J18" s="36" t="n"/>
      <c r="K18" s="43" t="n"/>
      <c r="L18" s="36" t="n"/>
    </row>
    <row r="19" ht="96" customHeight="1" s="23">
      <c r="A19" s="40" t="inlineStr">
        <is>
          <t>288437cd-bb26-4c97-b536-f9ca0c7ad85d</t>
        </is>
      </c>
      <c r="B19" s="41" t="inlineStr">
        <is>
          <t>Digital &amp; Automation Development</t>
        </is>
      </c>
      <c r="C19" s="42" t="inlineStr">
        <is>
          <t>Real-time Dashboard</t>
        </is>
      </c>
      <c r="D19" s="41" t="inlineStr">
        <is>
          <t>ZTT(PEM-คุณเอก/PSL-คุณเฟย์)</t>
        </is>
      </c>
      <c r="E19" s="36" t="inlineStr">
        <is>
          <t>แดชบอร์ดติดตามสถานะเครื่องจักรและกระบวนการแบบเรียลไทม์ · ระบบแจ้งเตือนเมื่อค่าผิดปกติ · ใช้งานหน้างานเป็นหลัก</t>
        </is>
      </c>
      <c r="F19" s="36" t="inlineStr">
        <is>
          <t>ไม่ทำรายงานสรุปเชิงบริหาร (Mqm+Dashboard) · ไม่เป็นเจ้าของข้อมูลต้นทาง (BB Platform)</t>
        </is>
      </c>
      <c r="G19" s="36" t="inlineStr">
        <is>
          <t>ความหน่วงของข้อมูล (วินาที) · Uptime (%) · ความแม่นยำการแจ้งเตือน (%)</t>
        </is>
      </c>
      <c r="H19" s="36" t="n"/>
      <c r="I19" s="36" t="n"/>
      <c r="J19" s="36" t="n"/>
      <c r="K19" s="43" t="n"/>
      <c r="L19" s="36" t="n"/>
    </row>
    <row r="20" ht="96" customHeight="1" s="23">
      <c r="A20" s="40" t="inlineStr">
        <is>
          <t>11cbf1b9-37d2-46ec-8801-960979527593</t>
        </is>
      </c>
      <c r="B20" s="41" t="inlineStr">
        <is>
          <t>Digital &amp; Automation Development</t>
        </is>
      </c>
      <c r="C20" s="42" t="inlineStr">
        <is>
          <t>Mqm+Dashboard</t>
        </is>
      </c>
      <c r="D20" s="41" t="inlineStr">
        <is>
          <t>คุณนิค</t>
        </is>
      </c>
      <c r="E20" s="36" t="inlineStr">
        <is>
          <t>ระบบ MQM และแดชบอร์ดสรุปคุณภาพ/ปริมาณ · เชื่อมข้อมูลหน้างานเข้าสู่รายงานผู้บริหาร · รายงานรายวัน/รายสัปดาห์</t>
        </is>
      </c>
      <c r="F20" s="36" t="inlineStr">
        <is>
          <t>ไม่ทำหน้าจอเรียลไทม์หน้างาน (ZTT)</t>
        </is>
      </c>
      <c r="G20" s="36" t="inlineStr">
        <is>
          <t>ส่งรายงานตรงเวลา (%) · ความถูกต้องเทียบข้อมูลหน้างาน (%) · จำนวนผู้ใช้ระดับบริหาร</t>
        </is>
      </c>
      <c r="H20" s="36" t="n"/>
      <c r="I20" s="36" t="n"/>
      <c r="J20" s="36" t="n"/>
      <c r="K20" s="43" t="n"/>
      <c r="L20" s="36" t="n"/>
    </row>
    <row r="21" ht="96" customHeight="1" s="23">
      <c r="A21" s="40" t="inlineStr">
        <is>
          <t>b197d83f-06a5-4ffe-80e2-cf22dfd9afd0</t>
        </is>
      </c>
      <c r="B21" s="41" t="inlineStr">
        <is>
          <t>Digital &amp; Automation Development</t>
        </is>
      </c>
      <c r="C21" s="42" t="inlineStr">
        <is>
          <t>New engine specified</t>
        </is>
      </c>
      <c r="D21" s="41" t="inlineStr">
        <is>
          <t>คุณ Third</t>
        </is>
      </c>
      <c r="E21" s="36" t="inlineStr">
        <is>
          <t>กำหนดสเปกเอนจินใหม่ · เปรียบเทียบตัวเลือกและผู้ขาย · จัดทำเอกสารข้อกำหนดทางเทคนิคสำหรับจัดซื้อ</t>
        </is>
      </c>
      <c r="F21" s="36" t="inlineStr">
        <is>
          <t>ไม่ตัดสินใจจัดซื้อหรือเจรจาราคา (ยังไม่มีเจ้าภาพ — ดูส่วนที่ 3)</t>
        </is>
      </c>
      <c r="G21" s="36" t="inlineStr">
        <is>
          <t>วันส่งมอบเอกสารสเปก (ตามแผน/ล่าช้า) · ผู้ขายที่เปรียบเทียบ (ราย) · ส่วนต่างราคาที่ต่อรองได้ (%)</t>
        </is>
      </c>
      <c r="H21" s="36" t="n"/>
      <c r="I21" s="36" t="n"/>
      <c r="J21" s="36" t="n"/>
      <c r="K21" s="43" t="n"/>
      <c r="L21" s="36" t="n"/>
    </row>
    <row r="22" ht="96" customHeight="1" s="23">
      <c r="A22" s="40" t="inlineStr">
        <is>
          <t>83dcc38a-c32b-4c9e-a469-7eeb6735297e</t>
        </is>
      </c>
      <c r="B22" s="41" t="inlineStr">
        <is>
          <t>Digital &amp; Automation Development</t>
        </is>
      </c>
      <c r="C22" s="42" t="inlineStr">
        <is>
          <t>เก็บข้อมูลด้วย technology</t>
        </is>
      </c>
      <c r="D22" s="41" t="inlineStr">
        <is>
          <t>คุณนิค</t>
        </is>
      </c>
      <c r="E22" s="36" t="inlineStr">
        <is>
          <t>บินสำรวจแปลง เก็บภาพและข้อมูลมัลติสเปกตรัม · ประเมินพื้นที่ปลูกและมวลชีวภาพ · ส่งข้อมูลเข้าแพลตฟอร์ม · ดูแลใบอนุญาตบินและความปลอดภัย
ติดตั้งและดูแลสถานีตรวจอากาศ · เก็บข้อมูล RH อุณหภูมิ ปริมาณฝน · ส่งข้อมูลเข้าระบบเพื่อใช้วางแผนผึ่งและเก็บเกี่ยว</t>
        </is>
      </c>
      <c r="F22" s="36" t="inlineStr">
        <is>
          <t>ไม่สำรวจภาคพื้นดินเพื่อวางแผนปลูก/ตัด (คุณเฟย์) · ไม่ตีความข้อมูลเชิงเกษตร (R&amp;D / Plantation)</t>
        </is>
      </c>
      <c r="G22" s="36" t="inlineStr">
        <is>
          <t>พื้นที่บินสำรวจ (ไร่/เดือน) · ความคลาดเคลื่อนประเมินมวลชีวภาพ (%) · รอบบินที่สำเร็จ (%)</t>
        </is>
      </c>
      <c r="H22" s="36" t="n"/>
      <c r="I22" s="36" t="n"/>
      <c r="J22" s="36" t="n"/>
      <c r="K22" s="43" t="n"/>
      <c r="L22" s="36" t="n"/>
    </row>
    <row r="23" ht="96" customHeight="1" s="23">
      <c r="A23" s="40" t="inlineStr">
        <is>
          <t>95ddd819-823f-4948-826a-e2618daebb32</t>
        </is>
      </c>
      <c r="B23" s="41" t="inlineStr">
        <is>
          <t>Digital &amp; Automation Development</t>
        </is>
      </c>
      <c r="C23" s="42" t="inlineStr">
        <is>
          <t>Ai as a service</t>
        </is>
      </c>
      <c r="D23" s="41" t="inlineStr">
        <is>
          <t>คุณนิค</t>
        </is>
      </c>
      <c r="E23" s="36" t="inlineStr">
        <is>
          <t>พัฒนาบริการ AI ทั้งใช้ภายในและขายภายนอก · โมเดลพยากรณ์ผลผลิตและความชื้น · API และเอกสารสำหรับลูกค้า</t>
        </is>
      </c>
      <c r="F23" s="36" t="inlineStr">
        <is>
          <t>ไม่หาลูกค้าหรือกำหนดราคา (คุณเก่ง) · ไม่ดูแลโครงสร้างพื้นฐานที่รันโมเดล (Infra)</t>
        </is>
      </c>
      <c r="G23" s="36" t="inlineStr">
        <is>
          <t>ความแม่นยำของโมเดล (%) · เวลาตอบ API (ms) · จำนวน API call (ครั้ง/เดือน)</t>
        </is>
      </c>
      <c r="H23" s="36" t="n"/>
      <c r="I23" s="36" t="n"/>
      <c r="J23" s="36" t="n"/>
      <c r="K23" s="43" t="n"/>
      <c r="L23" s="36" t="n"/>
    </row>
    <row r="24" ht="96" customHeight="1" s="23">
      <c r="A24" s="40" t="inlineStr">
        <is>
          <t>86b2f184-dd48-44a1-915a-655d829db2e2</t>
        </is>
      </c>
      <c r="B24" s="41" t="inlineStr">
        <is>
          <t>Production</t>
        </is>
      </c>
      <c r="C24" s="42" t="inlineStr">
        <is>
          <t>Certification bamboo species</t>
        </is>
      </c>
      <c r="D24" s="41" t="inlineStr">
        <is>
          <t>คุณ Aof</t>
        </is>
      </c>
      <c r="E24" s="36" t="inlineStr">
        <is>
          <t>ขึ้นทะเบียนและรับรองสายพันธุ์ไผ่ · ดำเนินเอกสารกับหน่วยงานราชการ · ติดตามข้อกำหนดที่เปลี่ยนแปลง</t>
        </is>
      </c>
      <c r="F24" s="36" t="inlineStr">
        <is>
          <t>ไม่คัดเลือกหรือทดสอบสายพันธุ์ (R&amp;D) · ไม่ดูแลใบอนุญาตด้านอื่นของโครงการ (ยังไม่มีเจ้าภาพ — ดูส่วนที่ 3)</t>
        </is>
      </c>
      <c r="G24" s="36" t="inlineStr">
        <is>
          <t>สายพันธุ์ที่ได้รับรอง (สายพันธุ์/ปี) · ระยะเวลาดำเนินเอกสาร (วัน/ราย) · เอกสารที่ผ่านครั้งแรก (%)</t>
        </is>
      </c>
      <c r="H24" s="36" t="n"/>
      <c r="I24" s="36" t="n"/>
      <c r="J24" s="36" t="n"/>
      <c r="K24" s="43" t="n"/>
      <c r="L24" s="36" t="n"/>
    </row>
    <row r="25" ht="96" customHeight="1" s="23">
      <c r="A25" s="40" t="inlineStr">
        <is>
          <t>e35ed083-2af1-4ae9-816e-9bd99284b349</t>
        </is>
      </c>
      <c r="B25" s="41" t="inlineStr">
        <is>
          <t>Production</t>
        </is>
      </c>
      <c r="C25" s="42" t="inlineStr">
        <is>
          <t>Tissue Culture+Nursery+Seeding</t>
        </is>
      </c>
      <c r="D25" s="41" t="inlineStr">
        <is>
          <t>คุณ เก่ง</t>
        </is>
      </c>
      <c r="E25" s="36" t="inlineStr">
        <is>
          <t>เพาะเลี้ยงเนื้อเยื่อและผลิตกล้าในเรือนเพาะชำ · ควบคุมคุณภาพและปริมาณกล้าให้ตรงแผนปลูก · จัดส่งกล้าให้แปลงและลูกค้า</t>
        </is>
      </c>
      <c r="F25" s="36" t="inlineStr">
        <is>
          <t>ไม่ขายกล้าในบทบาทนี้ (แยกจากงาน 1.2) · ไม่ปลูกลงแปลงจริง (คุณเฟย์)</t>
        </is>
      </c>
      <c r="G25" s="36" t="inlineStr">
        <is>
          <t>กล้าที่ผลิตได้ (ต้น/เดือน) · อัตรารอดในเรือนเพาะชำ (%) · ต้นทุนต่อกล้า (บาท/ต้น)</t>
        </is>
      </c>
      <c r="H25" s="36" t="n"/>
      <c r="I25" s="36" t="n"/>
      <c r="J25" s="36" t="n"/>
      <c r="K25" s="43" t="n"/>
      <c r="L25" s="36" t="n"/>
    </row>
    <row r="26" ht="96" customHeight="1" s="23">
      <c r="A26" s="40" t="inlineStr">
        <is>
          <t>ee720468-40ef-4ead-b1a7-21c8f7f73bce</t>
        </is>
      </c>
      <c r="B26" s="41" t="inlineStr">
        <is>
          <t>Production</t>
        </is>
      </c>
      <c r="C26" s="42" t="inlineStr">
        <is>
          <t>Plantation + ส่งเสริม+สำรวจเพื่อปลูก</t>
        </is>
      </c>
      <c r="D26" s="41" t="inlineStr">
        <is>
          <t>คุณ เฟย์</t>
        </is>
      </c>
      <c r="E26" s="36" t="inlineStr">
        <is>
          <t>วางแผนพื้นที่ปลูกและสำรวจความเหมาะสมของแปลง · ส่งเสริมและให้ความรู้เทคนิคการปลูกแก่เกษตรกร · ติดตามการเติบโตรายแปลง</t>
        </is>
      </c>
      <c r="F26" s="36" t="inlineStr">
        <is>
          <t>ไม่หาเกษตรกรรายใหม่หรือทำสัญญา (Farmer Acquisition) · ไม่ทำวิจัยสายพันธุ์ (R&amp;D / มูลนิธิฯ)</t>
        </is>
      </c>
      <c r="G26" s="36" t="inlineStr">
        <is>
          <t>พื้นที่ปลูกใหม่ (ไร่/ไตรมาส) · อัตรารอดที่ 6 เดือน (%) · เกษตรกรที่ผ่านการอบรม (ราย/ไตรมาส)</t>
        </is>
      </c>
      <c r="H26" s="36" t="n"/>
      <c r="I26" s="36" t="n"/>
      <c r="J26" s="36" t="n"/>
      <c r="K26" s="43" t="n"/>
      <c r="L26" s="36" t="n"/>
    </row>
    <row r="27" ht="96" customHeight="1" s="23">
      <c r="A27" s="40" t="inlineStr">
        <is>
          <t>5e6894b4-5ce2-4bb7-b22a-5155e39d2c32</t>
        </is>
      </c>
      <c r="B27" s="41" t="inlineStr">
        <is>
          <t>Production</t>
        </is>
      </c>
      <c r="C27" s="42" t="inlineStr">
        <is>
          <t>plantation - non-farmer</t>
        </is>
      </c>
      <c r="D27" s="41" t="inlineStr">
        <is>
          <t>พี่ อมร</t>
        </is>
      </c>
      <c r="E27" s="36" t="n"/>
      <c r="F27" s="36" t="n"/>
      <c r="G27" s="36" t="n"/>
      <c r="H27" s="36" t="n"/>
      <c r="I27" s="36" t="n"/>
      <c r="J27" s="36" t="n"/>
      <c r="K27" s="43" t="n"/>
      <c r="L27" s="36" t="n"/>
    </row>
    <row r="28" ht="96" customHeight="1" s="23">
      <c r="A28" s="40" t="inlineStr">
        <is>
          <t>e6978965-e93f-4903-981b-b576340efc18</t>
        </is>
      </c>
      <c r="B28" s="41" t="inlineStr">
        <is>
          <t>Production</t>
        </is>
      </c>
      <c r="C28" s="42" t="inlineStr">
        <is>
          <t>Harvesting+สำรวจเพื่อตัด</t>
        </is>
      </c>
      <c r="D28" s="41" t="inlineStr">
        <is>
          <t>คุณ เฟย์</t>
        </is>
      </c>
      <c r="E28" s="36" t="inlineStr">
        <is>
          <t>วางแผนและควบคุมการเก็บเกี่ยว · กำหนดรอบตัดและคิวรถ · ควบคุมคุณภาพวัตถุดิบที่เข้าโรงงานตามเกณฑ์ QC</t>
        </is>
      </c>
      <c r="F28" s="36" t="inlineStr">
        <is>
          <t>ไม่พัฒนาเครื่องจักรเก็บเกี่ยว (คุณ ปดิ) · ไม่กำหนดเกณฑ์คุณภาพเอง (Formula + QC)</t>
        </is>
      </c>
      <c r="G28" s="36" t="inlineStr">
        <is>
          <t>ปริมาณเก็บเกี่ยว (ตัน/เดือน) · ต้นทุนเก็บเกี่ยว (บาท/ตัน) · วัตถุดิบที่ผ่านเกณฑ์ QC (%)</t>
        </is>
      </c>
      <c r="H28" s="36" t="n"/>
      <c r="I28" s="36" t="n"/>
      <c r="J28" s="36" t="n"/>
      <c r="K28" s="43" t="n"/>
      <c r="L28" s="36" t="n"/>
    </row>
    <row r="29" ht="96" customHeight="1" s="23">
      <c r="A29" s="40" t="inlineStr">
        <is>
          <t>93658d07-2525-41b7-b9b2-c4277ca839d4</t>
        </is>
      </c>
      <c r="B29" s="41" t="inlineStr">
        <is>
          <t>Production</t>
        </is>
      </c>
      <c r="C29" s="42" t="inlineStr">
        <is>
          <t>มัดเส้นใย+เยื่อ</t>
        </is>
      </c>
      <c r="D29" s="41" t="inlineStr">
        <is>
          <t>คุณ มาร์ค</t>
        </is>
      </c>
      <c r="E29" s="36" t="inlineStr">
        <is>
          <t>ควบคุมสายการผลิตเส้นใยและเยื่อ · กำลังการผลิต อัตราของเสีย และคุณภาพผลผลิต · บริหารกำลังคนในสายการผลิต</t>
        </is>
      </c>
      <c r="F29" s="36" t="inlineStr">
        <is>
          <t>ไม่ขายผลิตภัณฑ์ (คุณ ษา) · ไม่ออกแบบกระบวนการ (คุณ เอฟ)</t>
        </is>
      </c>
      <c r="G29" s="36" t="inlineStr">
        <is>
          <t>ผลผลิต (ตัน/เดือน) · ประสิทธิผลเครื่องจักร OEE (%) · อัตราของเสีย (%)</t>
        </is>
      </c>
      <c r="H29" s="36" t="n"/>
      <c r="I29" s="36" t="n"/>
      <c r="J29" s="36" t="n"/>
      <c r="K29" s="43" t="n"/>
      <c r="L29" s="36" t="n"/>
    </row>
    <row r="30" ht="96" customHeight="1" s="23">
      <c r="A30" s="40" t="inlineStr">
        <is>
          <t>68adc109-e082-4c1f-b944-d6f50587ca96</t>
        </is>
      </c>
      <c r="B30" s="41" t="inlineStr">
        <is>
          <t>Production</t>
        </is>
      </c>
      <c r="C30" s="42" t="inlineStr">
        <is>
          <t>โรงไฟฟ้า</t>
        </is>
      </c>
      <c r="D30" s="41" t="inlineStr">
        <is>
          <t>พี่แพ็ค</t>
        </is>
      </c>
      <c r="E30" s="36" t="inlineStr">
        <is>
          <t>เดินเครื่องและบำรุงรักษาโรงไฟฟ้าชีวมวล · ควบคุมสเปกเชื้อเพลิงเข้าเตาและประสิทธิภาพการเผาไหม้ · ดูแลความปลอดภัยในโรงไฟฟ้า</t>
        </is>
      </c>
      <c r="F30" s="36" t="inlineStr">
        <is>
          <t>ไม่เจรจาสัญญาขายไฟ (คุณบอย) · ไม่ดูแลระบบจ่ายไฟนอกรั้วโรงไฟฟ้า (Power — ดูประเด็น 2.4)</t>
        </is>
      </c>
      <c r="G30" s="36" t="inlineStr">
        <is>
          <t>ไฟฟ้าที่ผลิตได้ (MWh/เดือน) · Availability (%) · อัตราสิ้นเปลืองเชื้อเพลิง (ตัน/MWh)</t>
        </is>
      </c>
      <c r="H30" s="36" t="n"/>
      <c r="I30" s="36" t="n"/>
      <c r="J30" s="36" t="n"/>
      <c r="K30" s="43" t="n"/>
      <c r="L30" s="36" t="n"/>
    </row>
    <row r="31" ht="96" customHeight="1" s="23">
      <c r="A31" s="40" t="inlineStr">
        <is>
          <t>c38cbc86-70bd-4896-b526-f4d502d52d81</t>
        </is>
      </c>
      <c r="B31" s="41" t="inlineStr">
        <is>
          <t>Production</t>
        </is>
      </c>
      <c r="C31" s="42" t="inlineStr">
        <is>
          <t>Biochar</t>
        </is>
      </c>
      <c r="D31" s="41" t="inlineStr">
        <is>
          <t>คุณ ไบร์</t>
        </is>
      </c>
      <c r="E31" s="36" t="inlineStr">
        <is>
          <t>เดินสายการผลิตไบโอชาร์ · ควบคุมกระบวนการไพโรไลซิสและคุณภาพผลิตภัณฑ์ · จัดทำเอกสารสำหรับคาร์บอนเครดิต</t>
        </is>
      </c>
      <c r="F31" s="36" t="inlineStr">
        <is>
          <t>ไม่หาตลาดในบทบาทนี้ (แยกจากงาน 1.3) · ไม่กำหนดเกณฑ์คุณภาพเอง (Formula + QC)</t>
        </is>
      </c>
      <c r="G31" s="36" t="inlineStr">
        <is>
          <t>ไบโอชาร์ที่ผลิตได้ (ตัน/เดือน) · Yield จากชีวมวล (%) · คาร์บอนเครดิตที่ออกได้ (tCO₂e/ปี)</t>
        </is>
      </c>
      <c r="H31" s="36" t="n"/>
      <c r="I31" s="36" t="n"/>
      <c r="J31" s="36" t="n"/>
      <c r="K31" s="43" t="n"/>
      <c r="L31" s="36" t="n"/>
    </row>
    <row r="32" ht="96" customHeight="1" s="23">
      <c r="A32" s="40" t="inlineStr">
        <is>
          <t>f1d01d83-58d5-445e-ad97-942823783286</t>
        </is>
      </c>
      <c r="B32" s="41" t="inlineStr">
        <is>
          <t>Production</t>
        </is>
      </c>
      <c r="C32" s="42" t="inlineStr">
        <is>
          <t>Co-location Data center</t>
        </is>
      </c>
      <c r="D32" s="41" t="inlineStr">
        <is>
          <t>คุณพีค</t>
        </is>
      </c>
      <c r="E32" s="36" t="inlineStr">
        <is>
          <t>พัฒนาและให้บริการพื้นที่ Data center · ระบบไฟสำรอง ระบบระบายความร้อน · ดูแล uptime และ SLA ทางเทคนิค</t>
        </is>
      </c>
      <c r="F32" s="36" t="inlineStr">
        <is>
          <t>ไม่หาลูกค้าหรือทำสัญญาเช่า (คุณพลอย)</t>
        </is>
      </c>
      <c r="G32" s="36" t="inlineStr">
        <is>
          <t>Uptime (%) · ค่า PUE · อัตราการใช้พื้นที่ (%)</t>
        </is>
      </c>
      <c r="H32" s="36" t="n"/>
      <c r="I32" s="36" t="n"/>
      <c r="J32" s="36" t="n"/>
      <c r="K32" s="43" t="n"/>
      <c r="L32" s="36" t="n"/>
    </row>
    <row r="33" ht="96" customHeight="1" s="23">
      <c r="A33" s="40" t="inlineStr">
        <is>
          <t>ed80dd18-8118-43e3-a6a3-a2a2b99a356c</t>
        </is>
      </c>
      <c r="B33" s="41" t="inlineStr">
        <is>
          <t>Infra</t>
        </is>
      </c>
      <c r="C33" s="42" t="inlineStr">
        <is>
          <t>Integrated water</t>
        </is>
      </c>
      <c r="D33" s="41" t="inlineStr">
        <is>
          <t>คุณ Pulla</t>
        </is>
      </c>
      <c r="E33" s="36" t="inlineStr">
        <is>
          <t>ระบบน้ำรวมของโครงการ ตั้งแต่แหล่งน้ำ ระบบส่ง ระบบให้น้ำในแปลง จนถึงน้ำใช้ในโรงงาน · จัดการสิทธิ์การใช้น้ำและคุณภาพน้ำ</t>
        </is>
      </c>
      <c r="F33" s="36" t="inlineStr">
        <is>
          <t>ไม่กำหนดตารางการให้น้ำรายแปลง (Plantation) · ไม่ดูแลระบบบำบัดน้ำเสียของกระบวนการผลิต (ยังไม่มีเจ้าภาพ)</t>
        </is>
      </c>
      <c r="G33" s="36" t="inlineStr">
        <is>
          <t>ปริมาณน้ำที่จ่ายได้ (ลบ.ม./วัน) · วันที่ขาดน้ำ (วัน/ปี) · ต้นทุนน้ำ (บาท/ลบ.ม.)</t>
        </is>
      </c>
      <c r="H33" s="36" t="n"/>
      <c r="I33" s="36" t="n"/>
      <c r="J33" s="36" t="n"/>
      <c r="K33" s="43" t="n"/>
      <c r="L33" s="36" t="n"/>
    </row>
    <row r="34" ht="96" customHeight="1" s="23">
      <c r="A34" s="40" t="inlineStr">
        <is>
          <t>2cbb0109-e84f-432a-a3a0-e9c1ae3eac5d</t>
        </is>
      </c>
      <c r="B34" s="41" t="inlineStr">
        <is>
          <t>Infra</t>
        </is>
      </c>
      <c r="C34" s="42" t="inlineStr">
        <is>
          <t>Power</t>
        </is>
      </c>
      <c r="D34" s="41" t="inlineStr">
        <is>
          <t>คุณ Boy</t>
        </is>
      </c>
      <c r="E34" s="36" t="inlineStr">
        <is>
          <t>ระบบไฟฟ้าภายในพื้นที่ หม้อแปลง สายส่ง การเชื่อมต่อกริด · ความมั่นคงและคุณภาพของกระแสไฟ</t>
        </is>
      </c>
      <c r="F34" s="36" t="inlineStr">
        <is>
          <t>ไม่เดินเครื่องผลิตไฟ (คุณบอส) · ไม่เจรจาสัญญาขายไฟ (แยกจากงาน 1.4 แม้เป็นคนเดียวกัน)</t>
        </is>
      </c>
      <c r="G34" s="36" t="inlineStr">
        <is>
          <t>จำนวนไฟดับ (ครั้ง/เดือน) · เวลาไฟดับรวม (นาที/เดือน) · ค่าความสูญเสียในระบบส่ง (%)</t>
        </is>
      </c>
      <c r="H34" s="36" t="n"/>
      <c r="I34" s="36" t="n"/>
      <c r="J34" s="36" t="n"/>
      <c r="K34" s="43" t="n"/>
      <c r="L34" s="36" t="n"/>
    </row>
    <row r="35" ht="96" customHeight="1" s="23">
      <c r="A35" s="40" t="inlineStr">
        <is>
          <t>4fc4a855-db2c-4858-b4ae-cb8fb1cdea3a</t>
        </is>
      </c>
      <c r="B35" s="41" t="inlineStr">
        <is>
          <t>Infra</t>
        </is>
      </c>
      <c r="C35" s="42" t="inlineStr">
        <is>
          <t>Network</t>
        </is>
      </c>
      <c r="D35" s="41" t="inlineStr">
        <is>
          <t>คุณพีค</t>
        </is>
      </c>
      <c r="E35" s="36" t="inlineStr">
        <is>
          <t>โครงข่ายสื่อสารในพื้นที่ ทั้งไฟเบอร์และไร้สาย · ครอบคลุมแปลงปลูก โรงงาน และ Data center · ดูแลความปลอดภัยของเครือข่าย</t>
        </is>
      </c>
      <c r="F35" s="36" t="inlineStr">
        <is>
          <t>ไม่พัฒนาแอปพลิเคชันหรือแพลตฟอร์ม (Digital)</t>
        </is>
      </c>
      <c r="G35" s="36" t="inlineStr">
        <is>
          <t>Uptime เครือข่าย (%) · พื้นที่ครอบคลุมสัญญาณ (%) · เวลาแก้เหตุขัดข้อง (ชม.)</t>
        </is>
      </c>
      <c r="H35" s="36" t="n"/>
      <c r="I35" s="36" t="n"/>
      <c r="J35" s="36" t="n"/>
      <c r="K35" s="43" t="n"/>
      <c r="L35" s="36" t="n"/>
    </row>
    <row r="36" ht="96" customHeight="1" s="23">
      <c r="A36" s="40" t="inlineStr">
        <is>
          <t>a4df05ff-d758-49ef-9ef6-1789565a433d</t>
        </is>
      </c>
      <c r="B36" s="41" t="inlineStr">
        <is>
          <t>Infra</t>
        </is>
      </c>
      <c r="C36" s="42" t="inlineStr">
        <is>
          <t>Land Dev</t>
        </is>
      </c>
      <c r="D36" s="41" t="inlineStr">
        <is>
          <t>คุณ Tula</t>
        </is>
      </c>
      <c r="E36" s="36" t="inlineStr">
        <is>
          <t>จัดหาและพัฒนาที่ดิน · เอกสารสิทธิ์และการขออนุญาตก่อสร้าง · ผังพื้นที่ระดับโครงการ ถนนภายใน และงานปรับพื้นที่</t>
        </is>
      </c>
      <c r="F36" s="36" t="inlineStr">
        <is>
          <t>ไม่ออกแบบผังภายในโรงงาน (Design layout) · ไม่ทำสัญญาเช่าที่กับเกษตรกร (Farmer Acquisition)</t>
        </is>
      </c>
      <c r="G36" s="36" t="inlineStr">
        <is>
          <t>ที่ดินที่จัดหาได้ (ไร่) · ใบอนุญาตที่ได้รับตามแผน (%) · ต้นทุนพัฒนาที่ดิน (บาท/ไร่)</t>
        </is>
      </c>
      <c r="H36" s="36" t="n"/>
      <c r="I36" s="36" t="n"/>
      <c r="J36" s="36" t="n"/>
      <c r="K36" s="43" t="n"/>
      <c r="L36" s="36" t="n"/>
    </row>
    <row r="37" ht="96" customHeight="1" s="23">
      <c r="A37" s="40" t="inlineStr">
        <is>
          <t>381db2ce-f372-456c-b940-a4dc734b1441</t>
        </is>
      </c>
      <c r="B37" s="41" t="inlineStr">
        <is>
          <t>Infra</t>
        </is>
      </c>
      <c r="C37" s="42" t="inlineStr">
        <is>
          <t>Logistic</t>
        </is>
      </c>
      <c r="D37" s="41" t="inlineStr">
        <is>
          <t>คุณ เฟย์</t>
        </is>
      </c>
      <c r="E37" s="36" t="inlineStr">
        <is>
          <t>ขนส่งวัตถุดิบและผลิตภัณฑ์ · จัดรถและวางเส้นทาง · คุมพิกัดน้ำหนักให้ถูกกฎหมายและต้นทุนต่อตัน</t>
        </is>
      </c>
      <c r="F37" s="36" t="inlineStr">
        <is>
          <t>ไม่จัดคิวรถในแปลงตอนเก็บเกี่ยว (อยู่ในงาน 5.4 แม้เป็นคนเดียวกัน) · ไม่ดูแลคลังสินค้า (ยังไม่มีเจ้าภาพ)</t>
        </is>
      </c>
      <c r="G37" s="36" t="inlineStr">
        <is>
          <t>ต้นทุนขนส่ง (บาท/ตัน-กม.) · ส่งตรงเวลา (%) · อัตราบรรทุกเต็มคัน (%)</t>
        </is>
      </c>
      <c r="H37" s="36" t="n"/>
      <c r="I37" s="36" t="n"/>
      <c r="J37" s="36" t="n"/>
      <c r="K37" s="43" t="n"/>
      <c r="L37" s="36" t="n"/>
    </row>
    <row r="38" ht="96" customHeight="1" s="23">
      <c r="A38" s="40" t="inlineStr">
        <is>
          <t>63b053b1-2ec5-4111-863e-d48ccc26e5ec</t>
        </is>
      </c>
      <c r="B38" s="41" t="inlineStr">
        <is>
          <t>Finance</t>
        </is>
      </c>
      <c r="C38" s="42" t="inlineStr">
        <is>
          <t>กำหนดกรอบราคาขาย+Pricing analytics</t>
        </is>
      </c>
      <c r="D38" s="41" t="inlineStr">
        <is>
          <t>คณะ MM (คุณเฟย์)</t>
        </is>
      </c>
      <c r="E38" s="36" t="inlineStr">
        <is>
          <t>วิเคราะห์ต้นทุนและกำหนดกรอบราคาขายของทุกผลิตภัณฑ์ · จัดทำแบบจำลองราคาและจุดคุ้มทุน · กำหนดเพดานส่วนลดที่ทีมขายให้ได้</t>
        </is>
      </c>
      <c r="F38" s="36" t="inlineStr">
        <is>
          <t>ไม่เจรจากับลูกค้าโดยตรง (ทีมขาย) · ไม่ทำบัญชี งบประมาณ หรือ cash flow (ยังไม่มีเจ้าภาพ — ดูส่วนที่ 3)</t>
        </is>
      </c>
      <c r="G38" s="36" t="inlineStr">
        <is>
          <t>อัตรากำไรขั้นต้นรายผลิตภัณฑ์ (%) · ความคลาดเคลื่อนราคาจริงเทียบกรอบ (%) · รอบทบทวนราคา (ครั้ง/ปี)</t>
        </is>
      </c>
      <c r="H38" s="36" t="n"/>
      <c r="I38" s="36" t="n"/>
      <c r="J38" s="36" t="n"/>
      <c r="K38" s="43" t="n"/>
      <c r="L38" s="36" t="n"/>
    </row>
    <row r="39" ht="96" customHeight="1" s="23">
      <c r="A39" s="40" t="inlineStr">
        <is>
          <t>dd9aadf1-376b-48eb-80ef-1dc6d94c815e</t>
        </is>
      </c>
      <c r="B39" s="41" t="inlineStr">
        <is>
          <t>Finance</t>
        </is>
      </c>
      <c r="C39" s="42" t="inlineStr">
        <is>
          <t>สนับสนุนการปลูกไผ่+วิจัยเครื่องจักรการเกษตร + habitat suitability</t>
        </is>
      </c>
      <c r="D39" s="41" t="inlineStr">
        <is>
          <t>มูลนิธิพัฒนาทุนทางปัญญาชุมชนสุวรรณภูมิ</t>
        </is>
      </c>
      <c r="E39" s="36" t="inlineStr">
        <is>
          <t>สนับสนุนชุมชนในการปลูกไผ่ · งานวิจัยเชิงวิชาการและการพัฒนาชุมชน · เชื่อมโยงกับเครือข่ายวิชาการภายนอก</t>
        </is>
      </c>
      <c r="F39" s="36" t="inlineStr">
        <is>
          <t>ไม่ใช่หน่วยผลิตเชิงพาณิชย์ · ไม่รับผิดชอบเป้าหมายผลผลิตของบริษัท</t>
        </is>
      </c>
      <c r="G39" s="36" t="inlineStr">
        <is>
          <t>ชุมชนที่เข้าร่วม (แห่ง/ปี) · งานวิจัยที่เผยแพร่ (เรื่อง/ปี) · เกษตรกรที่ได้รับประโยชน์ (ราย/ปี)</t>
        </is>
      </c>
      <c r="H39" s="36" t="n"/>
      <c r="I39" s="36" t="n"/>
      <c r="J39" s="36" t="n"/>
      <c r="K39" s="43" t="n"/>
      <c r="L39" s="36" t="n"/>
    </row>
    <row r="40" ht="96" customHeight="1" s="23">
      <c r="A40" s="40" t="inlineStr">
        <is>
          <t>23bfc2ad-9956-468c-8dd2-f8ec74b85ffc</t>
        </is>
      </c>
      <c r="B40" s="41" t="inlineStr">
        <is>
          <t>Legal</t>
        </is>
      </c>
      <c r="C40" s="42" t="inlineStr">
        <is>
          <t>ดูแลข้อกฏหมาย ออกแบบเงื่อนไขสัญญา</t>
        </is>
      </c>
      <c r="D40" s="41" t="inlineStr">
        <is>
          <t>คุณฟ้า</t>
        </is>
      </c>
      <c r="E40" s="36" t="inlineStr">
        <is>
          <t>ร่างและตรวจสัญญาทุกประเภท (รับซื้อผลผลิต ขายไฟ เช่า Data center จัดซื้อ) · ติดตามข้อกำหนดกฎหมายที่กระทบโครงการ · ให้ความเห็นทางกฎหมายก่อนลงนาม</t>
        </is>
      </c>
      <c r="F40" s="36" t="inlineStr">
        <is>
          <t>ไม่เจรจาเงื่อนไขทางธุรกิจ (เจ้าของงานแต่ละสาย) · ไม่ดำเนินคดีหรือว่าความ (จ้างภายนอก)</t>
        </is>
      </c>
      <c r="G40" s="36" t="inlineStr">
        <is>
          <t>สัญญาที่ตรวจเสร็จตามกำหนด (%) · เวลาตรวจเฉลี่ยต่อฉบับ (วัน) · ข้อพิพาท (ครั้ง/ปี)</t>
        </is>
      </c>
      <c r="H40" s="36" t="n"/>
      <c r="I40" s="36" t="n"/>
      <c r="J40" s="36" t="n"/>
      <c r="K40" s="43" t="n"/>
      <c r="L40" s="36" t="n"/>
    </row>
    <row r="41" ht="96" customHeight="1" s="23">
      <c r="A41" s="40" t="inlineStr">
        <is>
          <t>31b0b705-7751-4198-92b6-1baca2c0400e</t>
        </is>
      </c>
      <c r="B41" s="41" t="inlineStr">
        <is>
          <t>strategy and direction</t>
        </is>
      </c>
      <c r="C41" s="42" t="inlineStr">
        <is>
          <t>Leader</t>
        </is>
      </c>
      <c r="D41" s="41" t="inlineStr">
        <is>
          <t>คุณอมร</t>
        </is>
      </c>
      <c r="E41" s="36" t="n"/>
      <c r="F41" s="36" t="n"/>
      <c r="G41" s="36" t="n"/>
      <c r="H41" s="36" t="n"/>
      <c r="I41" s="36" t="n"/>
      <c r="J41" s="36" t="n"/>
      <c r="K41" s="43" t="n"/>
      <c r="L41" s="36" t="n"/>
    </row>
    <row r="42" ht="96" customHeight="1" s="23">
      <c r="A42" s="40" t="inlineStr">
        <is>
          <t>360ded6f-a296-4afd-8bd9-227059beeb61</t>
        </is>
      </c>
      <c r="B42" s="41" t="inlineStr">
        <is>
          <t>strategy and direction</t>
        </is>
      </c>
      <c r="C42" s="42" t="inlineStr">
        <is>
          <t>Advisor</t>
        </is>
      </c>
      <c r="D42" s="41" t="inlineStr">
        <is>
          <t>คุณยุ้</t>
        </is>
      </c>
      <c r="E42" s="36" t="n"/>
      <c r="F42" s="36" t="n"/>
      <c r="G42" s="36" t="n"/>
      <c r="H42" s="36" t="n"/>
      <c r="I42" s="36" t="n"/>
      <c r="J42" s="36" t="n"/>
      <c r="K42" s="43" t="n"/>
      <c r="L42" s="36" t="n"/>
    </row>
    <row r="43" ht="96" customHeight="1" s="23">
      <c r="A43" s="40" t="inlineStr">
        <is>
          <t>44e9bf8e-1a4d-4abe-9fd2-75bb6d385fe1</t>
        </is>
      </c>
      <c r="B43" s="41" t="inlineStr">
        <is>
          <t>strategy and direction</t>
        </is>
      </c>
      <c r="C43" s="42" t="inlineStr">
        <is>
          <t>PMO</t>
        </is>
      </c>
      <c r="D43" s="41" t="inlineStr">
        <is>
          <t>คุณน้องเล็ก</t>
        </is>
      </c>
      <c r="E43" s="36" t="n"/>
      <c r="F43" s="36" t="n"/>
      <c r="G43" s="36" t="n"/>
      <c r="H43" s="36" t="n"/>
      <c r="I43" s="36" t="n"/>
      <c r="J43" s="36" t="n"/>
      <c r="K43" s="43" t="n"/>
      <c r="L43" s="36" t="n"/>
    </row>
    <row r="44" ht="96" customHeight="1" s="23">
      <c r="A44" s="40" t="inlineStr">
        <is>
          <t>05a79b68-a924-4a24-8060-5678eec2d731</t>
        </is>
      </c>
      <c r="B44" s="41" t="inlineStr">
        <is>
          <t>strategy and direction</t>
        </is>
      </c>
      <c r="C44" s="42" t="inlineStr">
        <is>
          <t>manager</t>
        </is>
      </c>
      <c r="D44" s="41" t="inlineStr">
        <is>
          <t>คุณ เฟย์</t>
        </is>
      </c>
      <c r="E44" s="36" t="n"/>
      <c r="F44" s="36" t="n"/>
      <c r="G44" s="36" t="n"/>
      <c r="H44" s="36" t="n"/>
      <c r="I44" s="36" t="n"/>
      <c r="J44" s="36" t="n"/>
      <c r="K44" s="43" t="n"/>
      <c r="L44" s="36" t="n"/>
    </row>
    <row r="45" ht="96" customHeight="1" s="23">
      <c r="A45" s="40" t="inlineStr">
        <is>
          <t>1c6ee715-b87c-4c04-959e-1285d5298931</t>
        </is>
      </c>
      <c r="B45" s="41" t="inlineStr">
        <is>
          <t>strategy and direction</t>
        </is>
      </c>
      <c r="C45" s="42" t="inlineStr">
        <is>
          <t>Coordinator</t>
        </is>
      </c>
      <c r="D45" s="41" t="inlineStr">
        <is>
          <t>คุณบอล</t>
        </is>
      </c>
      <c r="E45" s="36" t="n"/>
      <c r="F45" s="36" t="n"/>
      <c r="G45" s="36" t="n"/>
      <c r="H45" s="36" t="n"/>
      <c r="I45" s="36" t="n"/>
      <c r="J45" s="36" t="n"/>
      <c r="K45" s="43" t="n"/>
      <c r="L45" s="36" t="n"/>
    </row>
  </sheetData>
  <autoFilter ref="A1:L45"/>
  <dataValidations count="1">
    <dataValidation sqref="I2:I45" showDropDown="0" showInputMessage="0" showErrorMessage="0" allowBlank="1" errorTitle="ค่าไม่ถูกต้อง" error="เลือกได้เฉพาะ สูง / กลาง / ต่ำ" type="list" errorStyle="stop" operator="between">
      <formula1>"สูง,กลาง,ต่ำ"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2026-09-15T15:51:58Z</dcterms:created>
  <dcterms:modified xmlns:dcterms="http://purl.org/dc/terms/" xmlns:xsi="http://www.w3.org/2001/XMLSchema-instance" xsi:type="dcterms:W3CDTF">2026-09-15T15:53:07Z</dcterms:modified>
  <cp:revision>0</cp:revision>
</cp:coreProperties>
</file>